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ftik\Desktop\Sidra Review\Hardware-Designing\_Deliverables\BOM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7" i="1" l="1"/>
  <c r="M36" i="1" l="1"/>
  <c r="M37" i="1"/>
  <c r="M38" i="1"/>
  <c r="M39" i="1"/>
  <c r="M40" i="1"/>
  <c r="M41" i="1"/>
  <c r="M42" i="1"/>
  <c r="M43" i="1"/>
  <c r="M44" i="1"/>
  <c r="M45" i="1"/>
  <c r="M28" i="1"/>
  <c r="M29" i="1"/>
  <c r="M30" i="1"/>
  <c r="M31" i="1"/>
  <c r="M32" i="1"/>
  <c r="M33" i="1"/>
  <c r="M34" i="1"/>
  <c r="M35" i="1"/>
  <c r="M26" i="1"/>
  <c r="M27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3" i="1"/>
</calcChain>
</file>

<file path=xl/sharedStrings.xml><?xml version="1.0" encoding="utf-8"?>
<sst xmlns="http://schemas.openxmlformats.org/spreadsheetml/2006/main" count="372" uniqueCount="226">
  <si>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</si>
  <si>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</si>
  <si>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</si>
  <si>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</si>
  <si>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</si>
  <si>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</si>
  <si>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</si>
  <si>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</si>
  <si>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</si>
  <si>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Remarks</t>
  </si>
  <si>
    <t>Capacitors</t>
  </si>
  <si>
    <t>Murata</t>
  </si>
  <si>
    <t>-------------</t>
  </si>
  <si>
    <t>Cap1206</t>
  </si>
  <si>
    <t>Taiyo Yuden</t>
  </si>
  <si>
    <t>Yageo</t>
  </si>
  <si>
    <t>CAP 0201</t>
  </si>
  <si>
    <t>0.1uF</t>
  </si>
  <si>
    <t>1uF</t>
  </si>
  <si>
    <t>Resistors</t>
  </si>
  <si>
    <t>Res-0201</t>
  </si>
  <si>
    <t>Panasonic</t>
  </si>
  <si>
    <t>47K</t>
  </si>
  <si>
    <t>U1</t>
  </si>
  <si>
    <t>-----------</t>
  </si>
  <si>
    <t>U2</t>
  </si>
  <si>
    <t>J2</t>
  </si>
  <si>
    <t>Custom</t>
  </si>
  <si>
    <t>TE Connectivity</t>
  </si>
  <si>
    <t>J1</t>
  </si>
  <si>
    <t xml:space="preserve">Total Component Cost </t>
  </si>
  <si>
    <t>Connectors</t>
  </si>
  <si>
    <t>Bill of Material (BOM) for  Eduardo</t>
  </si>
  <si>
    <t>C1, C2, C3, C4, C7, C10, C11, C13, C17, C19, C22, C25, C26, C28, C38, C76, C79, C80, C82, C85</t>
  </si>
  <si>
    <t>C8, C9</t>
  </si>
  <si>
    <t>C12, C34, C37, C40, C41</t>
  </si>
  <si>
    <t>C16, C18, C27, C29, C35, C78</t>
  </si>
  <si>
    <t>C33</t>
  </si>
  <si>
    <t>C81</t>
  </si>
  <si>
    <t>CAP CER 0.1UF 50V Y5V 0603</t>
  </si>
  <si>
    <t>CAP CER 1UF 16V X7R 1206</t>
  </si>
  <si>
    <t>CAP CER 10UF 25V X5R 0603</t>
  </si>
  <si>
    <t>CAP CER 1UF 16V X7R 0805</t>
  </si>
  <si>
    <t>CAP CER 10000PF 50V X5R 0201</t>
  </si>
  <si>
    <t>CAP CER 4.7UF 16V 10% X5R 0805</t>
  </si>
  <si>
    <t>1206YC105K4T2A</t>
  </si>
  <si>
    <t>10uF</t>
  </si>
  <si>
    <t>10nF</t>
  </si>
  <si>
    <t>4.7UF</t>
  </si>
  <si>
    <t>CC0603ZRY5V9BB104</t>
  </si>
  <si>
    <t>C1608X5R1E106M080AC</t>
  </si>
  <si>
    <t>CL21B105KOFNNNG</t>
  </si>
  <si>
    <t>UMK063BJ103KP-F</t>
  </si>
  <si>
    <t>C0805C475K4PACTU</t>
  </si>
  <si>
    <t>Cap0603</t>
  </si>
  <si>
    <t>Cap0805</t>
  </si>
  <si>
    <t>Kyocera AVX</t>
  </si>
  <si>
    <t>TDK</t>
  </si>
  <si>
    <t>Samsung</t>
  </si>
  <si>
    <t>KEMET</t>
  </si>
  <si>
    <t>Tag-Connect</t>
  </si>
  <si>
    <t xml:space="preserve">Total Cost </t>
  </si>
  <si>
    <t>Unit Cost</t>
  </si>
  <si>
    <t>FIXED IND 1.5UH 4.2A 20.8 MOHM</t>
  </si>
  <si>
    <t>L1</t>
  </si>
  <si>
    <t>NR6028T1R5N</t>
  </si>
  <si>
    <t>FERRITE BEAD 120 OHM 0603 1LN</t>
  </si>
  <si>
    <t>L2</t>
  </si>
  <si>
    <t>IND 0603</t>
  </si>
  <si>
    <t>BLM18SG121TN1D</t>
  </si>
  <si>
    <t>ADDRESS LED DISCRETE SERIAL RGB</t>
  </si>
  <si>
    <t>LED1</t>
  </si>
  <si>
    <t>COM-11821</t>
  </si>
  <si>
    <t>SparkFun</t>
  </si>
  <si>
    <t>Quantity</t>
  </si>
  <si>
    <t>TRANS NPN 40V 0.6A SMD SOT23-3</t>
  </si>
  <si>
    <t>Q2, Q3</t>
  </si>
  <si>
    <t>MOSFET N-CH 50V 200MA SOT-23</t>
  </si>
  <si>
    <t>Q4, Q5, Q6</t>
  </si>
  <si>
    <t>MOSFET P-CHAN 24V SOT23</t>
  </si>
  <si>
    <t>Q7</t>
  </si>
  <si>
    <t>MOSFET P-CH 20V 2.8A SOT-23</t>
  </si>
  <si>
    <t>Q9</t>
  </si>
  <si>
    <t>RES SMD 1K OHM 5% 1/2W 0805</t>
  </si>
  <si>
    <t>R1, R6</t>
  </si>
  <si>
    <t>RES SMD 10K OHM 5% 1/2W 0805</t>
  </si>
  <si>
    <t>RES SMD 47K OHM 1% 1/3W 0805</t>
  </si>
  <si>
    <t>R7</t>
  </si>
  <si>
    <t>RES SMD 100K OHM 5% 1/2W 0805</t>
  </si>
  <si>
    <t>R9</t>
  </si>
  <si>
    <t>RES SMD 220K OHM 5% 1/2W 0805</t>
  </si>
  <si>
    <t>R11</t>
  </si>
  <si>
    <t>RES SMD 470K OHM 1% 1/3W 0805</t>
  </si>
  <si>
    <t>R13</t>
  </si>
  <si>
    <t>RES SMD 665 OHM 1% 1/16W 0402</t>
  </si>
  <si>
    <t>R28</t>
  </si>
  <si>
    <t>RES SMD 30.9K OHM 1% 1/16W 0402</t>
  </si>
  <si>
    <t>R30</t>
  </si>
  <si>
    <t>RES SMD 28K OHM 1% 1/20W 0201</t>
  </si>
  <si>
    <t>R31</t>
  </si>
  <si>
    <t>RES SMD 20K OHM 1% 1/20W 0201</t>
  </si>
  <si>
    <t>R32, R42</t>
  </si>
  <si>
    <t>RES SMD 1M OHM 5% 1/2W 0805</t>
  </si>
  <si>
    <t>R33, R34</t>
  </si>
  <si>
    <t>RES SMD 400 OHM 0.1% 0.15W 0603</t>
  </si>
  <si>
    <t>R39</t>
  </si>
  <si>
    <t>SOT-23</t>
  </si>
  <si>
    <t>RES 0805</t>
  </si>
  <si>
    <t>Res0402</t>
  </si>
  <si>
    <t>Res0603</t>
  </si>
  <si>
    <t>MMBT2222A-7-F</t>
  </si>
  <si>
    <t>BSS138LT1G</t>
  </si>
  <si>
    <t>DMP2045U-7</t>
  </si>
  <si>
    <t>PMV65XP,215</t>
  </si>
  <si>
    <t>ERJ-P06J102V</t>
  </si>
  <si>
    <t>ERJ-P06J103V</t>
  </si>
  <si>
    <t>CRCW080547K0FKEAHP</t>
  </si>
  <si>
    <t>ERJ-P06J104V</t>
  </si>
  <si>
    <t>ERJ-P06J224V</t>
  </si>
  <si>
    <t>CRCW0805470KFKEAHP</t>
  </si>
  <si>
    <t>RC0402FR-07665RL</t>
  </si>
  <si>
    <t>AC0402FR-0730K9L</t>
  </si>
  <si>
    <t>AC0201FR-0728KL</t>
  </si>
  <si>
    <t>AC0201FR-0720KL</t>
  </si>
  <si>
    <t>ERJ-P06J105V</t>
  </si>
  <si>
    <t>PAT0603E4000BST1</t>
  </si>
  <si>
    <t>Diodes</t>
  </si>
  <si>
    <t>ON Semiconductor</t>
  </si>
  <si>
    <t>Nexperia</t>
  </si>
  <si>
    <t>Vishay</t>
  </si>
  <si>
    <t>Vishay Dale</t>
  </si>
  <si>
    <t>Vishay Dale Thin Film</t>
  </si>
  <si>
    <t>Tactile Switch SPST-NO Side Actuated Surface Mount, Right Angle</t>
  </si>
  <si>
    <t>SW2</t>
  </si>
  <si>
    <t>KSS221GLFS</t>
  </si>
  <si>
    <t>ITT C&amp;K</t>
  </si>
  <si>
    <t>IC REG LINEAR 3.3V 1A 8XDFN</t>
  </si>
  <si>
    <t>IC OPAMP GP 1 CIRCUIT SOT23-5</t>
  </si>
  <si>
    <t>U2A, U3A</t>
  </si>
  <si>
    <t>IC REG LINEAR 3.3V 150MA SOT23-5</t>
  </si>
  <si>
    <t>U3</t>
  </si>
  <si>
    <t>IC SWITCH QUAD SPST 16TSSOP</t>
  </si>
  <si>
    <t>U4</t>
  </si>
  <si>
    <t>SPU-TOP MIC IOT FOCUSED MIC</t>
  </si>
  <si>
    <t>U5</t>
  </si>
  <si>
    <t>SENS HUMID/TEMP 3.6V I2C 2% 6DFN</t>
  </si>
  <si>
    <t>U6</t>
  </si>
  <si>
    <t>WIFI MODULE 128MBITS SPI FLASH</t>
  </si>
  <si>
    <t>U7</t>
  </si>
  <si>
    <t>IC BAT CHG LI-ION 1 CELL SOT23-6</t>
  </si>
  <si>
    <t>U8</t>
  </si>
  <si>
    <t>IC OR CTRLR SRC SELECT 8TSSOP</t>
  </si>
  <si>
    <t>U9</t>
  </si>
  <si>
    <t>IC SUPERVISOR 1 CHANNEL TSOT23-6</t>
  </si>
  <si>
    <t>U10</t>
  </si>
  <si>
    <t>IC VREF SHUNT 18V 0.5% SOT23</t>
  </si>
  <si>
    <t>U12</t>
  </si>
  <si>
    <t>IC COMPARATOR LP DUAL 8-SOIC</t>
  </si>
  <si>
    <t>U13</t>
  </si>
  <si>
    <t>TPS63031DSKR</t>
  </si>
  <si>
    <t>NCP186AMX330TAG</t>
  </si>
  <si>
    <t>OPA344NA/250</t>
  </si>
  <si>
    <t>LP2985A-33DBVT</t>
  </si>
  <si>
    <t>ADG712BRUZ-REEL</t>
  </si>
  <si>
    <t>SPU0410HR5H-PB</t>
  </si>
  <si>
    <t>SI7021-A20-GM1R</t>
  </si>
  <si>
    <t>ESP32-WROOM-32D(16MB)</t>
  </si>
  <si>
    <t>BQ21040DBVR</t>
  </si>
  <si>
    <t>TPS2111APWR</t>
  </si>
  <si>
    <t>TPS3711DDCT</t>
  </si>
  <si>
    <t>TLV431BFTA</t>
  </si>
  <si>
    <t>LM393DT</t>
  </si>
  <si>
    <t>Texas Instruments</t>
  </si>
  <si>
    <t>Analog Devices</t>
  </si>
  <si>
    <t>Knowles</t>
  </si>
  <si>
    <t>Silicon Labs</t>
  </si>
  <si>
    <t>Espressif Systems</t>
  </si>
  <si>
    <t>Diodes Zetex</t>
  </si>
  <si>
    <t>STMicroelectronics</t>
  </si>
  <si>
    <t>SOT23-5</t>
  </si>
  <si>
    <t>16-TSSOP</t>
  </si>
  <si>
    <t>SOT-23-6</t>
  </si>
  <si>
    <t>8-TSSOP</t>
  </si>
  <si>
    <t>6DFN</t>
  </si>
  <si>
    <t>8-SOIC</t>
  </si>
  <si>
    <t>Inductor</t>
  </si>
  <si>
    <t>LED</t>
  </si>
  <si>
    <t>Switch</t>
  </si>
  <si>
    <t>IC</t>
  </si>
  <si>
    <t>CABLE ADAPTER 6 POS</t>
  </si>
  <si>
    <t>TC2030-IDC</t>
  </si>
  <si>
    <t>According to module demension</t>
  </si>
  <si>
    <t>SMD Header</t>
  </si>
  <si>
    <t>CONN HEADER VERT 2POS 2.5MM</t>
  </si>
  <si>
    <t>J5</t>
  </si>
  <si>
    <t>B2B-EH-A(LF)(SN)</t>
  </si>
  <si>
    <t>TERMINAL BLOCK 2POS 5.08MM SIDE</t>
  </si>
  <si>
    <t>J7</t>
  </si>
  <si>
    <t>JST</t>
  </si>
  <si>
    <t>1K</t>
  </si>
  <si>
    <t>10K</t>
  </si>
  <si>
    <t>100K</t>
  </si>
  <si>
    <t>220K</t>
  </si>
  <si>
    <t>470K</t>
  </si>
  <si>
    <t>665R</t>
  </si>
  <si>
    <t>30.9K</t>
  </si>
  <si>
    <t>28K</t>
  </si>
  <si>
    <t>20K</t>
  </si>
  <si>
    <t>1M</t>
  </si>
  <si>
    <t>400R</t>
  </si>
  <si>
    <t>Test Point ON</t>
  </si>
  <si>
    <t>P2, P4, P5, P6, P7, P8, P9, P19, P20</t>
  </si>
  <si>
    <t>Mosfets</t>
  </si>
  <si>
    <t>Link</t>
  </si>
  <si>
    <t>Digikey</t>
  </si>
  <si>
    <t>DO NOT MOUNT</t>
  </si>
  <si>
    <t>------</t>
  </si>
  <si>
    <t xml:space="preserve">Digikey </t>
  </si>
  <si>
    <t>1776493-2</t>
  </si>
  <si>
    <t xml:space="preserve">IC REG BCK BST 3.3V 900MA 10SON
</t>
  </si>
  <si>
    <t>10SON</t>
  </si>
  <si>
    <t>8XDFN</t>
  </si>
  <si>
    <t>R1#, R2, R3, R4, R4#, R5, R8, R10, R12, R14, R24, R29, R35, R36, R37, R38, R40, R43, R56, R57, R83, RC2, RC3, RC1</t>
  </si>
  <si>
    <t>-----</t>
  </si>
  <si>
    <t>---------</t>
  </si>
  <si>
    <t>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</si>
</sst>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[$$-409]* #,##0.00_ ;_-[$$-409]* \-#,##0.00\ ;_-[$$-409]* &quot;-&quot;??_ ;_-@_ "/>
    <numFmt numFmtId="165" formatCode="&quot;$&quot;#,##0.00000"/>
    <numFmt numFmtId="166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4" xfId="0" quotePrefix="1" applyFont="1" applyFill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8" xfId="0" quotePrefix="1" applyFont="1" applyFill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164" fontId="6" fillId="3" borderId="0" xfId="0" applyNumberFormat="1" applyFont="1" applyFill="1" applyBorder="1" applyAlignment="1">
      <alignment horizontal="left"/>
    </xf>
    <xf numFmtId="164" fontId="6" fillId="3" borderId="0" xfId="0" applyNumberFormat="1" applyFont="1" applyFill="1" applyBorder="1" applyAlignment="1">
      <alignment horizontal="center"/>
    </xf>
    <xf numFmtId="0" fontId="2" fillId="3" borderId="8" xfId="0" quotePrefix="1" applyFont="1" applyFill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164" fontId="6" fillId="3" borderId="0" xfId="0" applyNumberFormat="1" applyFont="1" applyFill="1" applyBorder="1" applyAlignment="1"/>
    <xf numFmtId="164" fontId="6" fillId="3" borderId="0" xfId="0" applyNumberFormat="1" applyFont="1" applyFill="1" applyAlignment="1"/>
    <xf numFmtId="165" fontId="7" fillId="0" borderId="5" xfId="0" applyNumberFormat="1" applyFont="1" applyBorder="1" applyAlignment="1">
      <alignment horizontal="left" vertical="center"/>
    </xf>
    <xf numFmtId="165" fontId="7" fillId="0" borderId="9" xfId="0" applyNumberFormat="1" applyFont="1" applyBorder="1" applyAlignment="1">
      <alignment horizontal="left" vertical="center"/>
    </xf>
    <xf numFmtId="0" fontId="2" fillId="0" borderId="10" xfId="0" quotePrefix="1" applyFont="1" applyFill="1" applyBorder="1" applyAlignment="1">
      <alignment horizontal="center" vertical="center"/>
    </xf>
    <xf numFmtId="165" fontId="7" fillId="0" borderId="15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18" xfId="0" quotePrefix="1" applyFont="1" applyBorder="1" applyAlignment="1">
      <alignment horizontal="center" vertical="center"/>
    </xf>
    <xf numFmtId="0" fontId="2" fillId="0" borderId="18" xfId="0" quotePrefix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left" vertical="center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2" fillId="0" borderId="7" xfId="0" quotePrefix="1" applyFont="1" applyBorder="1" applyAlignment="1">
      <alignment vertical="center" wrapText="1"/>
    </xf>
    <xf numFmtId="0" fontId="2" fillId="0" borderId="8" xfId="0" quotePrefix="1" applyFont="1" applyBorder="1" applyAlignment="1">
      <alignment vertical="center" wrapText="1"/>
    </xf>
    <xf numFmtId="0" fontId="2" fillId="0" borderId="8" xfId="0" quotePrefix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4" borderId="4" xfId="0" quotePrefix="1" applyFont="1" applyFill="1" applyBorder="1" applyAlignment="1">
      <alignment vertical="center" wrapText="1"/>
    </xf>
    <xf numFmtId="0" fontId="4" fillId="4" borderId="4" xfId="0" quotePrefix="1" applyFont="1" applyFill="1" applyBorder="1" applyAlignment="1">
      <alignment horizontal="center" vertical="center" wrapText="1"/>
    </xf>
    <xf numFmtId="0" fontId="4" fillId="4" borderId="4" xfId="0" quotePrefix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0" borderId="8" xfId="1" applyFont="1" applyBorder="1" applyAlignment="1" applyProtection="1">
      <alignment horizontal="center" vertical="center" wrapText="1"/>
    </xf>
    <xf numFmtId="165" fontId="2" fillId="3" borderId="9" xfId="0" applyNumberFormat="1" applyFont="1" applyFill="1" applyBorder="1" applyAlignment="1">
      <alignment horizontal="center" vertical="center"/>
    </xf>
    <xf numFmtId="166" fontId="2" fillId="0" borderId="17" xfId="0" applyNumberFormat="1" applyFont="1" applyFill="1" applyBorder="1" applyAlignment="1">
      <alignment horizontal="center" vertical="center"/>
    </xf>
    <xf numFmtId="0" fontId="2" fillId="0" borderId="3" xfId="0" quotePrefix="1" applyFont="1" applyBorder="1" applyAlignment="1">
      <alignment vertical="center" wrapText="1"/>
    </xf>
    <xf numFmtId="0" fontId="2" fillId="0" borderId="4" xfId="0" quotePrefix="1" applyFont="1" applyBorder="1" applyAlignment="1">
      <alignment horizontal="left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0" borderId="4" xfId="1" applyFont="1" applyBorder="1" applyAlignment="1" applyProtection="1">
      <alignment horizontal="center" vertical="center" wrapText="1"/>
    </xf>
    <xf numFmtId="166" fontId="2" fillId="0" borderId="4" xfId="0" applyNumberFormat="1" applyFont="1" applyFill="1" applyBorder="1" applyAlignment="1">
      <alignment horizontal="center" vertical="center"/>
    </xf>
    <xf numFmtId="0" fontId="2" fillId="0" borderId="14" xfId="0" quotePrefix="1" applyFont="1" applyBorder="1" applyAlignment="1">
      <alignment vertical="center" wrapText="1"/>
    </xf>
    <xf numFmtId="0" fontId="2" fillId="0" borderId="10" xfId="0" quotePrefix="1" applyFont="1" applyBorder="1" applyAlignment="1">
      <alignment vertical="center" wrapText="1"/>
    </xf>
    <xf numFmtId="0" fontId="2" fillId="0" borderId="10" xfId="0" quotePrefix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0" fillId="0" borderId="10" xfId="1" applyFont="1" applyBorder="1" applyAlignment="1" applyProtection="1">
      <alignment horizontal="center" vertical="center" wrapText="1"/>
    </xf>
    <xf numFmtId="166" fontId="2" fillId="0" borderId="16" xfId="0" applyNumberFormat="1" applyFont="1" applyFill="1" applyBorder="1" applyAlignment="1">
      <alignment horizontal="center" vertical="center"/>
    </xf>
    <xf numFmtId="0" fontId="2" fillId="0" borderId="4" xfId="0" quotePrefix="1" applyFont="1" applyBorder="1" applyAlignment="1">
      <alignment vertical="center" wrapText="1"/>
    </xf>
    <xf numFmtId="0" fontId="2" fillId="0" borderId="23" xfId="0" quotePrefix="1" applyFont="1" applyBorder="1" applyAlignment="1">
      <alignment vertical="center" wrapText="1"/>
    </xf>
    <xf numFmtId="0" fontId="2" fillId="0" borderId="18" xfId="0" quotePrefix="1" applyFont="1" applyBorder="1" applyAlignment="1">
      <alignment vertical="center" wrapText="1"/>
    </xf>
    <xf numFmtId="0" fontId="2" fillId="0" borderId="18" xfId="0" quotePrefix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0" fillId="0" borderId="18" xfId="1" applyFont="1" applyBorder="1" applyAlignment="1" applyProtection="1">
      <alignment horizontal="center" vertical="center" wrapText="1"/>
    </xf>
    <xf numFmtId="166" fontId="2" fillId="0" borderId="18" xfId="0" applyNumberFormat="1" applyFont="1" applyFill="1" applyBorder="1" applyAlignment="1">
      <alignment horizontal="center" vertical="center"/>
    </xf>
    <xf numFmtId="0" fontId="4" fillId="4" borderId="24" xfId="0" quotePrefix="1" applyFont="1" applyFill="1" applyBorder="1" applyAlignment="1">
      <alignment vertical="center" wrapText="1"/>
    </xf>
    <xf numFmtId="0" fontId="4" fillId="4" borderId="16" xfId="0" quotePrefix="1" applyFont="1" applyFill="1" applyBorder="1" applyAlignment="1">
      <alignment vertical="center" wrapText="1"/>
    </xf>
    <xf numFmtId="0" fontId="4" fillId="4" borderId="16" xfId="0" quotePrefix="1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/>
    </xf>
    <xf numFmtId="0" fontId="4" fillId="4" borderId="16" xfId="0" quotePrefix="1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4" fillId="4" borderId="3" xfId="0" quotePrefix="1" applyFont="1" applyFill="1" applyBorder="1" applyAlignment="1">
      <alignment vertical="center" wrapText="1"/>
    </xf>
    <xf numFmtId="0" fontId="2" fillId="0" borderId="3" xfId="0" quotePrefix="1" applyFont="1" applyBorder="1" applyAlignment="1">
      <alignment vertical="center"/>
    </xf>
    <xf numFmtId="0" fontId="10" fillId="0" borderId="18" xfId="1" applyFont="1" applyBorder="1" applyAlignment="1" applyProtection="1">
      <alignment horizontal="center" vertical="center"/>
    </xf>
    <xf numFmtId="0" fontId="6" fillId="3" borderId="12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166" fontId="2" fillId="4" borderId="16" xfId="0" applyNumberFormat="1" applyFont="1" applyFill="1" applyBorder="1" applyAlignment="1">
      <alignment horizontal="center" vertical="center"/>
    </xf>
    <xf numFmtId="166" fontId="2" fillId="4" borderId="4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nexperia-usa-inc/PMV65XP-215/949643" TargetMode="External"/><Relationship Id="rId18" Type="http://schemas.openxmlformats.org/officeDocument/2006/relationships/hyperlink" Target="https://www.digikey.com/en/products/detail/panasonic-electronic-components/ERJ-P06J224V/525240?s=N4IgTCBcDaIKICUBSBaACgBgGxLGALAGogC6AvkA" TargetMode="External"/><Relationship Id="rId26" Type="http://schemas.openxmlformats.org/officeDocument/2006/relationships/hyperlink" Target="https://www.digikey.com/en/products/detail/c-k/KSS221GLFS/417666?s=N4IgTCBcDaINIGUFjARgOIBkBiCQF0BfIA" TargetMode="External"/><Relationship Id="rId39" Type="http://schemas.openxmlformats.org/officeDocument/2006/relationships/hyperlink" Target="https://www.digikey.com/en/products/detail/stmicroelectronics/LM393DT/591695" TargetMode="External"/><Relationship Id="rId21" Type="http://schemas.openxmlformats.org/officeDocument/2006/relationships/hyperlink" Target="https://www.digikey.com/en/products/detail/yageo/AC0402FR-0730K9L/5895275?s=N4IgTCBcDaIIIGEAMAWJYBiAlAtEg7AMxIDSAnADIgC6AvkA" TargetMode="External"/><Relationship Id="rId34" Type="http://schemas.openxmlformats.org/officeDocument/2006/relationships/hyperlink" Target="https://www.digikey.com/en/products/detail/espressif-systems/ESP32-WROOM-32D-16MB/9381718?s=N4IgTCBcDaIKIGUAKBmMBaA6gJQPK4Fl00ARACgEYA2AgIQEoQBdAXyA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www.digikey.com/en/products/detail/taiyo-yuden/NR6028T1R5N/1866180?s=N4IgTCBcDaIHICUBsAGMAOAKgRgQVjhAF0BfIA" TargetMode="External"/><Relationship Id="rId2" Type="http://schemas.openxmlformats.org/officeDocument/2006/relationships/hyperlink" Target="https://www.digikey.com/en/products/detail/avx-corporation/1206YC105K4T2A/3081814?s=N4IgTCBcDaIIxgAwDYCaBhOiCsBpALACpgCCIAugL5A" TargetMode="External"/><Relationship Id="rId16" Type="http://schemas.openxmlformats.org/officeDocument/2006/relationships/hyperlink" Target="https://www.digikey.com/en/products/detail/vishay-dale/CRCW080547K0FKEAHP/2222360?s=N4IgTCBcDaIMICU4HUAMAOVBWALAdgGlUAxAgUQEEAJABRAF0BfIA" TargetMode="External"/><Relationship Id="rId20" Type="http://schemas.openxmlformats.org/officeDocument/2006/relationships/hyperlink" Target="https://www.digikey.com/en/products/detail/yageo/RC0402FR-07665RL/5281068?s=N4IgTCBcDaIEoGEAMAWJYBicC0SDsAbAQKxwAyIAugL5A" TargetMode="External"/><Relationship Id="rId29" Type="http://schemas.openxmlformats.org/officeDocument/2006/relationships/hyperlink" Target="https://www.digikey.com/en/products/detail/texas-instruments/OPA344NA-250/362264" TargetMode="External"/><Relationship Id="rId41" Type="http://schemas.openxmlformats.org/officeDocument/2006/relationships/hyperlink" Target="https://www.digikey.com/en/products/detail/te-connectivity-amp-connectors/1776493-2/2293915" TargetMode="External"/><Relationship Id="rId1" Type="http://schemas.openxmlformats.org/officeDocument/2006/relationships/hyperlink" Target="https://www.digikey.com/en/products/detail/yageo/CC0603ZRY5V9BB104/2103081?s=N4IgTCBcDaIMJwAwDZEGYBaAlAmgVgDUBOAIRIEZEAWEAXQF8g" TargetMode="External"/><Relationship Id="rId6" Type="http://schemas.openxmlformats.org/officeDocument/2006/relationships/hyperlink" Target="https://www.digikey.com/en/products/detail/kemet/C0805C475K4PACTU/2057920?s=N4IgTCBcDaIMIAYAcCCscAsB2VBpDACgIJwAqAqiALoC%2BQA" TargetMode="External"/><Relationship Id="rId11" Type="http://schemas.openxmlformats.org/officeDocument/2006/relationships/hyperlink" Target="https://www.digikey.com/en/products/detail/on-semiconductor/BSS138LT1G/918376?s=N4IgTCBcDaIEIGUEEYDMAOAMgFWQcRAF0BfIA" TargetMode="External"/><Relationship Id="rId24" Type="http://schemas.openxmlformats.org/officeDocument/2006/relationships/hyperlink" Target="https://www.digikey.com/en/products/detail/panasonic-electronic-components/ERJ-P06J105V/525200?s=N4IgTCBcDaIKICUBSBaACgBgGxIIwYFYA1EAXQF8g" TargetMode="External"/><Relationship Id="rId32" Type="http://schemas.openxmlformats.org/officeDocument/2006/relationships/hyperlink" Target="https://www.digikey.com/en/products/detail/knowles/SPU0410HR5H-PB/2242378?s=N4IgTCBcDaIMoAUCqAGALARhQCQEoFZsBaBAIRAF0BfIA" TargetMode="External"/><Relationship Id="rId37" Type="http://schemas.openxmlformats.org/officeDocument/2006/relationships/hyperlink" Target="https://www.digikey.com/en/products/detail/texas-instruments/TPS3711DDCT/5803292?s=N4IgTCBcDaICoAUDKBmA7ARgwEWwYThAF0BfIA" TargetMode="External"/><Relationship Id="rId40" Type="http://schemas.openxmlformats.org/officeDocument/2006/relationships/hyperlink" Target="https://www.digikey.com/en/products/detail/jst-sales-america-inc/B2B-EH-A-LF-SN/926520?s=N4IgTCBcDaIEJjgWgKIAkkEEAUAZAYgJTYDKAcoSALoC%2BQA" TargetMode="External"/><Relationship Id="rId5" Type="http://schemas.openxmlformats.org/officeDocument/2006/relationships/hyperlink" Target="https://www.digikey.com/en/products/detail/taiyo-yuden/UMK063BJ103KP-F/4970953?s=N4IgTCBcDaIKoFkDSAGAbAZgEICkCMKGSACgLQBiIAugL5A" TargetMode="External"/><Relationship Id="rId15" Type="http://schemas.openxmlformats.org/officeDocument/2006/relationships/hyperlink" Target="https://www.digikey.com/en/products/detail/panasonic-electronic-components/ERJ-P06J103V/525198?s=N4IgTCBcDaIKICUBSBaACgBgGxIIwYGYA1EAXQF8g" TargetMode="External"/><Relationship Id="rId23" Type="http://schemas.openxmlformats.org/officeDocument/2006/relationships/hyperlink" Target="https://www.digikey.com/en/products/detail/yageo/AC0201FR-0720KL/5894415?s=N4IgTCBcDaIIIGEAMYkEYBiAlAtEg7KgNIAyIAugL5A" TargetMode="External"/><Relationship Id="rId28" Type="http://schemas.openxmlformats.org/officeDocument/2006/relationships/hyperlink" Target="https://www.digikey.com/en/products/detail/on-semiconductor/NCP186AMX330TAG/5761743?s=N4IgTCBcDaIHIGEAKBGAHANgIIFkAaAzAQAwAqWA4iALoC%2BQA" TargetMode="External"/><Relationship Id="rId36" Type="http://schemas.openxmlformats.org/officeDocument/2006/relationships/hyperlink" Target="https://www.digikey.com/en/products/detail/texas-instruments/TPS2111APWR/652781" TargetMode="External"/><Relationship Id="rId10" Type="http://schemas.openxmlformats.org/officeDocument/2006/relationships/hyperlink" Target="https://www.digikey.com/en/products/detail/diodes-incorporated/MMBT2222A-7-F/814503?s=N4IgTCBcDaILJwEIBUxrAQQLQHYsDEQBdAXyA" TargetMode="External"/><Relationship Id="rId19" Type="http://schemas.openxmlformats.org/officeDocument/2006/relationships/hyperlink" Target="https://www.digikey.com/en/products/detail/vishay-dale/CRCW0805470KFKEAHP/2227258?s=N4IgTCBcDaIMICU4HUAMAOVBWALAdlQGkAxQgUQEEAJABRAF0BfIA" TargetMode="External"/><Relationship Id="rId31" Type="http://schemas.openxmlformats.org/officeDocument/2006/relationships/hyperlink" Target="https://www.digikey.com/en/products/detail/analog-devices-inc/ADG712BRUZ-REEL/994682" TargetMode="External"/><Relationship Id="rId4" Type="http://schemas.openxmlformats.org/officeDocument/2006/relationships/hyperlink" Target="https://www.digikey.com/en/products/detail/samsung-electro-mechanics/CL21B105KOFNNNG/3894469?s=N4IgTCBcDaIMIBkwEYBCyAMBWA0geQDEA5EgcRAF0BfIA" TargetMode="External"/><Relationship Id="rId9" Type="http://schemas.openxmlformats.org/officeDocument/2006/relationships/hyperlink" Target="https://www.digikey.com/en/products/detail/sparkfun-electronics/COM-11821/6163706?s=N4IgTCBcDaIMIHkCyBaAjGgHGNIC6AvkA" TargetMode="External"/><Relationship Id="rId14" Type="http://schemas.openxmlformats.org/officeDocument/2006/relationships/hyperlink" Target="https://www.digikey.com/en/products/detail/panasonic-electronic-components/ERJ-P06J102V/525197?s=N4IgTCBcDaIKICUBSBaACgBgGxIIwbADUQBdAXyA" TargetMode="External"/><Relationship Id="rId22" Type="http://schemas.openxmlformats.org/officeDocument/2006/relationships/hyperlink" Target="https://www.digikey.com/en/products/detail/yageo/AC0201FR-0728KL/5894483?s=N4IgTCBcDaIIIGEAMYkEYBiAlAtEg7GABwDSAMiALoC%2BQA" TargetMode="External"/><Relationship Id="rId27" Type="http://schemas.openxmlformats.org/officeDocument/2006/relationships/hyperlink" Target="https://www.digikey.com/en/products/detail/texas-instruments/TPS63031DSKR/2048021" TargetMode="External"/><Relationship Id="rId30" Type="http://schemas.openxmlformats.org/officeDocument/2006/relationships/hyperlink" Target="https://www.digikey.com/en/products/detail/texas-instruments/LP2985A-33DBVT/1510802" TargetMode="External"/><Relationship Id="rId35" Type="http://schemas.openxmlformats.org/officeDocument/2006/relationships/hyperlink" Target="https://www.digikey.com/en/products/detail/texas-instruments/BQ21040DBVR/6036340?s=N4IgTCBcDaIEIEUwEYAMAWVAROA1ASiALoC%2BQA" TargetMode="External"/><Relationship Id="rId8" Type="http://schemas.openxmlformats.org/officeDocument/2006/relationships/hyperlink" Target="https://www.digikey.com/en/products/detail/murata-electronics/BLM18SG121TN1D/1016155?s=N4IgTCBcDaIEIBkCyBGAHAZQOIrCgKgHIoAiIAugL5A" TargetMode="External"/><Relationship Id="rId3" Type="http://schemas.openxmlformats.org/officeDocument/2006/relationships/hyperlink" Target="https://www.digikey.com/en/products/detail/tdk-corporation/C1608X5R1E106M080AC/3648585?s=N4IgTCBcDaIMIEYBsAGAHADQKwCUEFEEUkBZdFAQThAF0BfIA" TargetMode="External"/><Relationship Id="rId12" Type="http://schemas.openxmlformats.org/officeDocument/2006/relationships/hyperlink" Target="https://www.digikey.com/en/products/detail/diodes-incorporated/DMP2045U-7/8275356?s=N4IgTCBcDaICIFkAKYAMAWArAVQLQHYQBdAXyA" TargetMode="External"/><Relationship Id="rId17" Type="http://schemas.openxmlformats.org/officeDocument/2006/relationships/hyperlink" Target="https://www.digikey.com/en/products/detail/panasonic-electronic-components/ERJ-P06J104V/525199?s=N4IgTCBcDaIKICUBSBaACgBgGxIIwYBYA1EAXQF8g" TargetMode="External"/><Relationship Id="rId25" Type="http://schemas.openxmlformats.org/officeDocument/2006/relationships/hyperlink" Target="https://www.digikey.com/en/products/detail/vishay-thin-film/PAT0603E4000BST1/2278871?s=N4IgTCBcDaIAoEEAqAGAbCgzAUQCwoICEBlJARhAF0BfIA" TargetMode="External"/><Relationship Id="rId33" Type="http://schemas.openxmlformats.org/officeDocument/2006/relationships/hyperlink" Target="https://www.digikey.com/en/products/detail/silicon-labs/SI7021-A20-GM1R/5048935?s=N4IgTCBcDaIMoEkDsAGMBGAtAQTCzA4gLLoBKIAugL5A" TargetMode="External"/><Relationship Id="rId38" Type="http://schemas.openxmlformats.org/officeDocument/2006/relationships/hyperlink" Target="https://www.digikey.com/en/products/detail/diodes-incorporated/TLV431BFTA/1952619?s=N4IgTCBcDaICoBkBqAWAzARgEIDE4EEQBdAX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tabSelected="1" workbookViewId="0">
      <selection activeCell="F19" sqref="F19"/>
    </sheetView>
  </sheetViews>
  <sheetFormatPr defaultRowHeight="15" x14ac:dyDescent="0.25"/>
  <cols>
    <col min="1" max="1" width="6.7109375" bestFit="1" customWidth="1"/>
    <col min="2" max="2" width="13.42578125" bestFit="1" customWidth="1"/>
    <col min="3" max="3" width="38.85546875" bestFit="1" customWidth="1"/>
    <col min="4" max="4" width="39.140625" customWidth="1"/>
    <col min="5" max="5" width="20.5703125" style="27" bestFit="1" customWidth="1"/>
    <col min="6" max="6" width="28.42578125" style="27" bestFit="1" customWidth="1"/>
    <col min="7" max="7" width="20.140625" style="27" bestFit="1" customWidth="1"/>
    <col min="8" max="8" width="10.28515625" bestFit="1" customWidth="1"/>
    <col min="9" max="9" width="6.42578125" style="27" bestFit="1" customWidth="1"/>
    <col min="10" max="10" width="9.7109375" style="27" bestFit="1" customWidth="1"/>
    <col min="11" max="11" width="9.7109375" style="27" customWidth="1"/>
    <col min="12" max="12" width="9.85546875" bestFit="1" customWidth="1"/>
    <col min="13" max="13" width="14" bestFit="1" customWidth="1"/>
    <col min="14" max="14" width="24.7109375" bestFit="1" customWidth="1"/>
  </cols>
  <sheetData>
    <row r="1" spans="1:14" ht="16.5" thickBot="1" x14ac:dyDescent="0.3">
      <c r="A1" s="77" t="s">
        <v>32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9"/>
    </row>
    <row r="2" spans="1:14" ht="16.5" thickBot="1" x14ac:dyDescent="0.3">
      <c r="A2" s="28" t="s">
        <v>0</v>
      </c>
      <c r="B2" s="30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  <c r="I2" s="28" t="s">
        <v>8</v>
      </c>
      <c r="J2" s="28" t="s">
        <v>74</v>
      </c>
      <c r="K2" s="28" t="s">
        <v>213</v>
      </c>
      <c r="L2" s="28" t="s">
        <v>62</v>
      </c>
      <c r="M2" s="28" t="s">
        <v>61</v>
      </c>
      <c r="N2" s="28" t="s">
        <v>9</v>
      </c>
    </row>
    <row r="3" spans="1:14" ht="26.25" thickBot="1" x14ac:dyDescent="0.3">
      <c r="A3" s="29">
        <v>1</v>
      </c>
      <c r="B3" s="74" t="s">
        <v>10</v>
      </c>
      <c r="C3" s="44" t="s">
        <v>39</v>
      </c>
      <c r="D3" s="45" t="s">
        <v>33</v>
      </c>
      <c r="E3" s="46" t="s">
        <v>54</v>
      </c>
      <c r="F3" s="46" t="s">
        <v>49</v>
      </c>
      <c r="G3" s="46" t="s">
        <v>15</v>
      </c>
      <c r="H3" s="1" t="s">
        <v>24</v>
      </c>
      <c r="I3" s="46" t="s">
        <v>17</v>
      </c>
      <c r="J3" s="47">
        <v>20</v>
      </c>
      <c r="K3" s="48" t="s">
        <v>214</v>
      </c>
      <c r="L3" s="15">
        <v>4.5999999999999999E-2</v>
      </c>
      <c r="M3" s="49">
        <f>L3*J3</f>
        <v>0.91999999999999993</v>
      </c>
      <c r="N3" s="11"/>
    </row>
    <row r="4" spans="1:14" ht="15.75" customHeight="1" thickBot="1" x14ac:dyDescent="0.3">
      <c r="A4" s="29">
        <v>2</v>
      </c>
      <c r="B4" s="75"/>
      <c r="C4" s="32" t="s">
        <v>40</v>
      </c>
      <c r="D4" s="33" t="s">
        <v>34</v>
      </c>
      <c r="E4" s="34" t="s">
        <v>13</v>
      </c>
      <c r="F4" s="2" t="s">
        <v>45</v>
      </c>
      <c r="G4" s="34" t="s">
        <v>56</v>
      </c>
      <c r="H4" s="3" t="s">
        <v>24</v>
      </c>
      <c r="I4" s="34" t="s">
        <v>18</v>
      </c>
      <c r="J4" s="35">
        <v>2</v>
      </c>
      <c r="K4" s="41" t="s">
        <v>214</v>
      </c>
      <c r="L4" s="16">
        <v>0.36</v>
      </c>
      <c r="M4" s="43">
        <f t="shared" ref="M4:M46" si="0">L4*J4</f>
        <v>0.72</v>
      </c>
      <c r="N4" s="12"/>
    </row>
    <row r="5" spans="1:14" ht="15.75" customHeight="1" thickBot="1" x14ac:dyDescent="0.3">
      <c r="A5" s="29">
        <v>3</v>
      </c>
      <c r="B5" s="75"/>
      <c r="C5" s="32" t="s">
        <v>41</v>
      </c>
      <c r="D5" s="33" t="s">
        <v>35</v>
      </c>
      <c r="E5" s="34" t="s">
        <v>54</v>
      </c>
      <c r="F5" s="2" t="s">
        <v>50</v>
      </c>
      <c r="G5" s="34" t="s">
        <v>57</v>
      </c>
      <c r="H5" s="3" t="s">
        <v>24</v>
      </c>
      <c r="I5" s="34" t="s">
        <v>46</v>
      </c>
      <c r="J5" s="35">
        <v>5</v>
      </c>
      <c r="K5" s="41" t="s">
        <v>214</v>
      </c>
      <c r="L5" s="16">
        <v>0.82</v>
      </c>
      <c r="M5" s="43">
        <f t="shared" si="0"/>
        <v>4.0999999999999996</v>
      </c>
      <c r="N5" s="12"/>
    </row>
    <row r="6" spans="1:14" ht="15.75" customHeight="1" thickBot="1" x14ac:dyDescent="0.3">
      <c r="A6" s="29">
        <v>4</v>
      </c>
      <c r="B6" s="75"/>
      <c r="C6" s="32" t="s">
        <v>42</v>
      </c>
      <c r="D6" s="33" t="s">
        <v>36</v>
      </c>
      <c r="E6" s="34" t="s">
        <v>55</v>
      </c>
      <c r="F6" s="2" t="s">
        <v>51</v>
      </c>
      <c r="G6" s="34" t="s">
        <v>58</v>
      </c>
      <c r="H6" s="3" t="s">
        <v>24</v>
      </c>
      <c r="I6" s="34" t="s">
        <v>18</v>
      </c>
      <c r="J6" s="35">
        <v>6</v>
      </c>
      <c r="K6" s="41" t="s">
        <v>214</v>
      </c>
      <c r="L6" s="16">
        <v>0.1</v>
      </c>
      <c r="M6" s="43">
        <f t="shared" si="0"/>
        <v>0.60000000000000009</v>
      </c>
      <c r="N6" s="12"/>
    </row>
    <row r="7" spans="1:14" ht="15.75" customHeight="1" thickBot="1" x14ac:dyDescent="0.3">
      <c r="A7" s="29">
        <v>5</v>
      </c>
      <c r="B7" s="75"/>
      <c r="C7" s="32" t="s">
        <v>43</v>
      </c>
      <c r="D7" s="33" t="s">
        <v>37</v>
      </c>
      <c r="E7" s="34" t="s">
        <v>16</v>
      </c>
      <c r="F7" s="2" t="s">
        <v>52</v>
      </c>
      <c r="G7" s="34" t="s">
        <v>14</v>
      </c>
      <c r="H7" s="3" t="s">
        <v>24</v>
      </c>
      <c r="I7" s="34" t="s">
        <v>47</v>
      </c>
      <c r="J7" s="35">
        <v>1</v>
      </c>
      <c r="K7" s="41" t="s">
        <v>214</v>
      </c>
      <c r="L7" s="16">
        <v>0.11</v>
      </c>
      <c r="M7" s="43">
        <f t="shared" si="0"/>
        <v>0.11</v>
      </c>
      <c r="N7" s="12"/>
    </row>
    <row r="8" spans="1:14" ht="15.75" customHeight="1" thickBot="1" x14ac:dyDescent="0.3">
      <c r="A8" s="29">
        <v>6</v>
      </c>
      <c r="B8" s="76"/>
      <c r="C8" s="50" t="s">
        <v>44</v>
      </c>
      <c r="D8" s="51" t="s">
        <v>38</v>
      </c>
      <c r="E8" s="52" t="s">
        <v>55</v>
      </c>
      <c r="F8" s="8" t="s">
        <v>53</v>
      </c>
      <c r="G8" s="52" t="s">
        <v>59</v>
      </c>
      <c r="H8" s="13" t="s">
        <v>24</v>
      </c>
      <c r="I8" s="52" t="s">
        <v>48</v>
      </c>
      <c r="J8" s="53">
        <v>1</v>
      </c>
      <c r="K8" s="54" t="s">
        <v>214</v>
      </c>
      <c r="L8" s="17">
        <v>0.27</v>
      </c>
      <c r="M8" s="55">
        <f t="shared" si="0"/>
        <v>0.27</v>
      </c>
      <c r="N8" s="14"/>
    </row>
    <row r="9" spans="1:14" ht="15.75" customHeight="1" thickBot="1" x14ac:dyDescent="0.3">
      <c r="A9" s="29">
        <v>7</v>
      </c>
      <c r="B9" s="74" t="s">
        <v>185</v>
      </c>
      <c r="C9" s="44" t="s">
        <v>63</v>
      </c>
      <c r="D9" s="56" t="s">
        <v>64</v>
      </c>
      <c r="E9" s="46"/>
      <c r="F9" s="46" t="s">
        <v>65</v>
      </c>
      <c r="G9" s="46" t="s">
        <v>14</v>
      </c>
      <c r="H9" s="1" t="s">
        <v>24</v>
      </c>
      <c r="I9" s="4" t="s">
        <v>216</v>
      </c>
      <c r="J9" s="47">
        <v>1</v>
      </c>
      <c r="K9" s="48" t="s">
        <v>214</v>
      </c>
      <c r="L9" s="15">
        <v>0.36</v>
      </c>
      <c r="M9" s="49">
        <f t="shared" si="0"/>
        <v>0.36</v>
      </c>
      <c r="N9" s="11"/>
    </row>
    <row r="10" spans="1:14" ht="15.75" customHeight="1" thickBot="1" x14ac:dyDescent="0.3">
      <c r="A10" s="29">
        <v>8</v>
      </c>
      <c r="B10" s="76"/>
      <c r="C10" s="50" t="s">
        <v>66</v>
      </c>
      <c r="D10" s="51" t="s">
        <v>67</v>
      </c>
      <c r="E10" s="52" t="s">
        <v>68</v>
      </c>
      <c r="F10" s="52" t="s">
        <v>69</v>
      </c>
      <c r="G10" s="52" t="s">
        <v>11</v>
      </c>
      <c r="H10" s="13" t="s">
        <v>24</v>
      </c>
      <c r="I10" s="8" t="s">
        <v>216</v>
      </c>
      <c r="J10" s="53">
        <v>1</v>
      </c>
      <c r="K10" s="54" t="s">
        <v>214</v>
      </c>
      <c r="L10" s="17">
        <v>0.13</v>
      </c>
      <c r="M10" s="55">
        <f t="shared" si="0"/>
        <v>0.13</v>
      </c>
      <c r="N10" s="14"/>
    </row>
    <row r="11" spans="1:14" ht="15.75" customHeight="1" thickBot="1" x14ac:dyDescent="0.3">
      <c r="A11" s="29">
        <v>9</v>
      </c>
      <c r="B11" s="18" t="s">
        <v>186</v>
      </c>
      <c r="C11" s="57" t="s">
        <v>70</v>
      </c>
      <c r="D11" s="58" t="s">
        <v>71</v>
      </c>
      <c r="E11" s="59" t="s">
        <v>27</v>
      </c>
      <c r="F11" s="59" t="s">
        <v>72</v>
      </c>
      <c r="G11" s="59" t="s">
        <v>73</v>
      </c>
      <c r="H11" s="20" t="s">
        <v>24</v>
      </c>
      <c r="I11" s="19" t="s">
        <v>216</v>
      </c>
      <c r="J11" s="60">
        <v>1</v>
      </c>
      <c r="K11" s="61" t="s">
        <v>214</v>
      </c>
      <c r="L11" s="22">
        <v>0.5</v>
      </c>
      <c r="M11" s="62">
        <f t="shared" si="0"/>
        <v>0.5</v>
      </c>
      <c r="N11" s="23"/>
    </row>
    <row r="12" spans="1:14" ht="15.75" customHeight="1" thickBot="1" x14ac:dyDescent="0.3">
      <c r="A12" s="29">
        <v>10</v>
      </c>
      <c r="B12" s="74" t="s">
        <v>212</v>
      </c>
      <c r="C12" s="44" t="s">
        <v>75</v>
      </c>
      <c r="D12" s="56" t="s">
        <v>76</v>
      </c>
      <c r="E12" s="46" t="s">
        <v>106</v>
      </c>
      <c r="F12" s="46" t="s">
        <v>110</v>
      </c>
      <c r="G12" s="46" t="s">
        <v>126</v>
      </c>
      <c r="H12" s="1" t="s">
        <v>24</v>
      </c>
      <c r="I12" s="4" t="s">
        <v>216</v>
      </c>
      <c r="J12" s="47">
        <v>2</v>
      </c>
      <c r="K12" s="48" t="s">
        <v>214</v>
      </c>
      <c r="L12" s="15">
        <v>0.14000000000000001</v>
      </c>
      <c r="M12" s="49">
        <f t="shared" si="0"/>
        <v>0.28000000000000003</v>
      </c>
      <c r="N12" s="11"/>
    </row>
    <row r="13" spans="1:14" ht="15.75" customHeight="1" thickBot="1" x14ac:dyDescent="0.3">
      <c r="A13" s="29">
        <v>11</v>
      </c>
      <c r="B13" s="75"/>
      <c r="C13" s="32" t="s">
        <v>77</v>
      </c>
      <c r="D13" s="33" t="s">
        <v>78</v>
      </c>
      <c r="E13" s="34" t="s">
        <v>106</v>
      </c>
      <c r="F13" s="34" t="s">
        <v>111</v>
      </c>
      <c r="G13" s="34" t="s">
        <v>127</v>
      </c>
      <c r="H13" s="3" t="s">
        <v>24</v>
      </c>
      <c r="I13" s="2" t="s">
        <v>216</v>
      </c>
      <c r="J13" s="35">
        <v>3</v>
      </c>
      <c r="K13" s="41" t="s">
        <v>214</v>
      </c>
      <c r="L13" s="16">
        <v>0.28000000000000003</v>
      </c>
      <c r="M13" s="43">
        <f t="shared" si="0"/>
        <v>0.84000000000000008</v>
      </c>
      <c r="N13" s="12"/>
    </row>
    <row r="14" spans="1:14" ht="15.75" customHeight="1" thickBot="1" x14ac:dyDescent="0.3">
      <c r="A14" s="29">
        <v>12</v>
      </c>
      <c r="B14" s="75"/>
      <c r="C14" s="32" t="s">
        <v>79</v>
      </c>
      <c r="D14" s="33" t="s">
        <v>80</v>
      </c>
      <c r="E14" s="34" t="s">
        <v>106</v>
      </c>
      <c r="F14" s="34" t="s">
        <v>112</v>
      </c>
      <c r="G14" s="34" t="s">
        <v>126</v>
      </c>
      <c r="H14" s="3" t="s">
        <v>24</v>
      </c>
      <c r="I14" s="2" t="s">
        <v>216</v>
      </c>
      <c r="J14" s="35">
        <v>1</v>
      </c>
      <c r="K14" s="41" t="s">
        <v>214</v>
      </c>
      <c r="L14" s="16">
        <v>0.47</v>
      </c>
      <c r="M14" s="43">
        <f t="shared" si="0"/>
        <v>0.47</v>
      </c>
      <c r="N14" s="12"/>
    </row>
    <row r="15" spans="1:14" ht="15.75" customHeight="1" thickBot="1" x14ac:dyDescent="0.3">
      <c r="A15" s="29">
        <v>13</v>
      </c>
      <c r="B15" s="76"/>
      <c r="C15" s="50" t="s">
        <v>81</v>
      </c>
      <c r="D15" s="51" t="s">
        <v>82</v>
      </c>
      <c r="E15" s="52" t="s">
        <v>106</v>
      </c>
      <c r="F15" s="52" t="s">
        <v>113</v>
      </c>
      <c r="G15" s="52" t="s">
        <v>128</v>
      </c>
      <c r="H15" s="13" t="s">
        <v>24</v>
      </c>
      <c r="I15" s="8" t="s">
        <v>216</v>
      </c>
      <c r="J15" s="53">
        <v>1</v>
      </c>
      <c r="K15" s="54" t="s">
        <v>214</v>
      </c>
      <c r="L15" s="17">
        <v>0.36</v>
      </c>
      <c r="M15" s="55">
        <f t="shared" si="0"/>
        <v>0.36</v>
      </c>
      <c r="N15" s="14"/>
    </row>
    <row r="16" spans="1:14" ht="15.75" customHeight="1" thickBot="1" x14ac:dyDescent="0.3">
      <c r="A16" s="29">
        <v>14</v>
      </c>
      <c r="B16" s="74" t="s">
        <v>19</v>
      </c>
      <c r="C16" s="44" t="s">
        <v>83</v>
      </c>
      <c r="D16" s="56" t="s">
        <v>84</v>
      </c>
      <c r="E16" s="46" t="s">
        <v>107</v>
      </c>
      <c r="F16" s="46" t="s">
        <v>114</v>
      </c>
      <c r="G16" s="46" t="s">
        <v>21</v>
      </c>
      <c r="H16" s="1" t="s">
        <v>24</v>
      </c>
      <c r="I16" s="46" t="s">
        <v>199</v>
      </c>
      <c r="J16" s="47">
        <v>2</v>
      </c>
      <c r="K16" s="48" t="s">
        <v>214</v>
      </c>
      <c r="L16" s="15">
        <v>0.12</v>
      </c>
      <c r="M16" s="49">
        <f t="shared" si="0"/>
        <v>0.24</v>
      </c>
      <c r="N16" s="11"/>
    </row>
    <row r="17" spans="1:14" ht="39" thickBot="1" x14ac:dyDescent="0.3">
      <c r="A17" s="29">
        <v>15</v>
      </c>
      <c r="B17" s="75"/>
      <c r="C17" s="32" t="s">
        <v>85</v>
      </c>
      <c r="D17" s="33" t="s">
        <v>222</v>
      </c>
      <c r="E17" s="34" t="s">
        <v>107</v>
      </c>
      <c r="F17" s="34" t="s">
        <v>115</v>
      </c>
      <c r="G17" s="34" t="s">
        <v>21</v>
      </c>
      <c r="H17" s="3" t="s">
        <v>24</v>
      </c>
      <c r="I17" s="34" t="s">
        <v>200</v>
      </c>
      <c r="J17" s="35">
        <v>24</v>
      </c>
      <c r="K17" s="41" t="s">
        <v>214</v>
      </c>
      <c r="L17" s="16">
        <v>0.108</v>
      </c>
      <c r="M17" s="43">
        <f t="shared" si="0"/>
        <v>2.5920000000000001</v>
      </c>
      <c r="N17" s="12"/>
    </row>
    <row r="18" spans="1:14" ht="15.75" customHeight="1" thickBot="1" x14ac:dyDescent="0.3">
      <c r="A18" s="29">
        <v>16</v>
      </c>
      <c r="B18" s="75"/>
      <c r="C18" s="32" t="s">
        <v>86</v>
      </c>
      <c r="D18" s="33" t="s">
        <v>87</v>
      </c>
      <c r="E18" s="34" t="s">
        <v>107</v>
      </c>
      <c r="F18" s="34" t="s">
        <v>116</v>
      </c>
      <c r="G18" s="34" t="s">
        <v>129</v>
      </c>
      <c r="H18" s="3" t="s">
        <v>24</v>
      </c>
      <c r="I18" s="34" t="s">
        <v>22</v>
      </c>
      <c r="J18" s="35">
        <v>1</v>
      </c>
      <c r="K18" s="41" t="s">
        <v>214</v>
      </c>
      <c r="L18" s="16">
        <v>0.26</v>
      </c>
      <c r="M18" s="43">
        <f t="shared" si="0"/>
        <v>0.26</v>
      </c>
      <c r="N18" s="12"/>
    </row>
    <row r="19" spans="1:14" ht="15.75" customHeight="1" thickBot="1" x14ac:dyDescent="0.3">
      <c r="A19" s="29">
        <v>17</v>
      </c>
      <c r="B19" s="75"/>
      <c r="C19" s="32" t="s">
        <v>88</v>
      </c>
      <c r="D19" s="33" t="s">
        <v>89</v>
      </c>
      <c r="E19" s="34" t="s">
        <v>107</v>
      </c>
      <c r="F19" s="34" t="s">
        <v>117</v>
      </c>
      <c r="G19" s="34" t="s">
        <v>21</v>
      </c>
      <c r="H19" s="3" t="s">
        <v>24</v>
      </c>
      <c r="I19" s="34" t="s">
        <v>201</v>
      </c>
      <c r="J19" s="35">
        <v>1</v>
      </c>
      <c r="K19" s="41" t="s">
        <v>214</v>
      </c>
      <c r="L19" s="16">
        <v>0.12</v>
      </c>
      <c r="M19" s="43">
        <f t="shared" si="0"/>
        <v>0.12</v>
      </c>
      <c r="N19" s="12"/>
    </row>
    <row r="20" spans="1:14" ht="15.75" customHeight="1" thickBot="1" x14ac:dyDescent="0.3">
      <c r="A20" s="29">
        <v>18</v>
      </c>
      <c r="B20" s="75"/>
      <c r="C20" s="32" t="s">
        <v>90</v>
      </c>
      <c r="D20" s="33" t="s">
        <v>91</v>
      </c>
      <c r="E20" s="34" t="s">
        <v>107</v>
      </c>
      <c r="F20" s="34" t="s">
        <v>118</v>
      </c>
      <c r="G20" s="34" t="s">
        <v>21</v>
      </c>
      <c r="H20" s="3" t="s">
        <v>24</v>
      </c>
      <c r="I20" s="34" t="s">
        <v>202</v>
      </c>
      <c r="J20" s="35">
        <v>1</v>
      </c>
      <c r="K20" s="41" t="s">
        <v>214</v>
      </c>
      <c r="L20" s="16">
        <v>0.12</v>
      </c>
      <c r="M20" s="43">
        <f t="shared" si="0"/>
        <v>0.12</v>
      </c>
      <c r="N20" s="12"/>
    </row>
    <row r="21" spans="1:14" ht="15.75" customHeight="1" thickBot="1" x14ac:dyDescent="0.3">
      <c r="A21" s="29">
        <v>19</v>
      </c>
      <c r="B21" s="75"/>
      <c r="C21" s="32" t="s">
        <v>92</v>
      </c>
      <c r="D21" s="33" t="s">
        <v>93</v>
      </c>
      <c r="E21" s="34" t="s">
        <v>107</v>
      </c>
      <c r="F21" s="34" t="s">
        <v>119</v>
      </c>
      <c r="G21" s="34" t="s">
        <v>130</v>
      </c>
      <c r="H21" s="3" t="s">
        <v>24</v>
      </c>
      <c r="I21" s="34" t="s">
        <v>203</v>
      </c>
      <c r="J21" s="35">
        <v>1</v>
      </c>
      <c r="K21" s="41" t="s">
        <v>214</v>
      </c>
      <c r="L21" s="16">
        <v>0.26</v>
      </c>
      <c r="M21" s="43">
        <f t="shared" si="0"/>
        <v>0.26</v>
      </c>
      <c r="N21" s="12"/>
    </row>
    <row r="22" spans="1:14" ht="15.75" customHeight="1" thickBot="1" x14ac:dyDescent="0.3">
      <c r="A22" s="29">
        <v>20</v>
      </c>
      <c r="B22" s="75"/>
      <c r="C22" s="32" t="s">
        <v>94</v>
      </c>
      <c r="D22" s="33" t="s">
        <v>95</v>
      </c>
      <c r="E22" s="34" t="s">
        <v>108</v>
      </c>
      <c r="F22" s="34" t="s">
        <v>120</v>
      </c>
      <c r="G22" s="34" t="s">
        <v>15</v>
      </c>
      <c r="H22" s="3" t="s">
        <v>24</v>
      </c>
      <c r="I22" s="34" t="s">
        <v>204</v>
      </c>
      <c r="J22" s="35">
        <v>1</v>
      </c>
      <c r="K22" s="41" t="s">
        <v>214</v>
      </c>
      <c r="L22" s="16">
        <v>0.1</v>
      </c>
      <c r="M22" s="43">
        <f t="shared" si="0"/>
        <v>0.1</v>
      </c>
      <c r="N22" s="12"/>
    </row>
    <row r="23" spans="1:14" ht="15.75" customHeight="1" thickBot="1" x14ac:dyDescent="0.3">
      <c r="A23" s="29">
        <v>21</v>
      </c>
      <c r="B23" s="75"/>
      <c r="C23" s="32" t="s">
        <v>96</v>
      </c>
      <c r="D23" s="33" t="s">
        <v>97</v>
      </c>
      <c r="E23" s="34" t="s">
        <v>108</v>
      </c>
      <c r="F23" s="34" t="s">
        <v>121</v>
      </c>
      <c r="G23" s="34" t="s">
        <v>15</v>
      </c>
      <c r="H23" s="3" t="s">
        <v>24</v>
      </c>
      <c r="I23" s="34" t="s">
        <v>205</v>
      </c>
      <c r="J23" s="35">
        <v>1</v>
      </c>
      <c r="K23" s="41" t="s">
        <v>214</v>
      </c>
      <c r="L23" s="16">
        <v>0.1</v>
      </c>
      <c r="M23" s="43">
        <f t="shared" si="0"/>
        <v>0.1</v>
      </c>
      <c r="N23" s="12"/>
    </row>
    <row r="24" spans="1:14" ht="15.75" customHeight="1" thickBot="1" x14ac:dyDescent="0.3">
      <c r="A24" s="29">
        <v>22</v>
      </c>
      <c r="B24" s="75"/>
      <c r="C24" s="32" t="s">
        <v>98</v>
      </c>
      <c r="D24" s="33" t="s">
        <v>99</v>
      </c>
      <c r="E24" s="34" t="s">
        <v>20</v>
      </c>
      <c r="F24" s="34" t="s">
        <v>122</v>
      </c>
      <c r="G24" s="34" t="s">
        <v>15</v>
      </c>
      <c r="H24" s="3" t="s">
        <v>24</v>
      </c>
      <c r="I24" s="34" t="s">
        <v>206</v>
      </c>
      <c r="J24" s="35">
        <v>1</v>
      </c>
      <c r="K24" s="41" t="s">
        <v>214</v>
      </c>
      <c r="L24" s="16">
        <v>0.1</v>
      </c>
      <c r="M24" s="43">
        <f t="shared" si="0"/>
        <v>0.1</v>
      </c>
      <c r="N24" s="12"/>
    </row>
    <row r="25" spans="1:14" ht="15.75" customHeight="1" thickBot="1" x14ac:dyDescent="0.3">
      <c r="A25" s="29">
        <v>23</v>
      </c>
      <c r="B25" s="75"/>
      <c r="C25" s="32" t="s">
        <v>100</v>
      </c>
      <c r="D25" s="33" t="s">
        <v>101</v>
      </c>
      <c r="E25" s="34" t="s">
        <v>20</v>
      </c>
      <c r="F25" s="34" t="s">
        <v>123</v>
      </c>
      <c r="G25" s="34" t="s">
        <v>15</v>
      </c>
      <c r="H25" s="3" t="s">
        <v>24</v>
      </c>
      <c r="I25" s="34" t="s">
        <v>207</v>
      </c>
      <c r="J25" s="35">
        <v>2</v>
      </c>
      <c r="K25" s="41" t="s">
        <v>214</v>
      </c>
      <c r="L25" s="16">
        <v>0.1</v>
      </c>
      <c r="M25" s="43">
        <f t="shared" si="0"/>
        <v>0.2</v>
      </c>
      <c r="N25" s="12"/>
    </row>
    <row r="26" spans="1:14" ht="15.75" customHeight="1" thickBot="1" x14ac:dyDescent="0.3">
      <c r="A26" s="29">
        <v>24</v>
      </c>
      <c r="B26" s="75"/>
      <c r="C26" s="32" t="s">
        <v>102</v>
      </c>
      <c r="D26" s="33" t="s">
        <v>103</v>
      </c>
      <c r="E26" s="34" t="s">
        <v>107</v>
      </c>
      <c r="F26" s="34" t="s">
        <v>124</v>
      </c>
      <c r="G26" s="34" t="s">
        <v>21</v>
      </c>
      <c r="H26" s="3" t="s">
        <v>24</v>
      </c>
      <c r="I26" s="34" t="s">
        <v>208</v>
      </c>
      <c r="J26" s="35">
        <v>2</v>
      </c>
      <c r="K26" s="41" t="s">
        <v>217</v>
      </c>
      <c r="L26" s="16">
        <v>0.12</v>
      </c>
      <c r="M26" s="43">
        <f t="shared" si="0"/>
        <v>0.24</v>
      </c>
      <c r="N26" s="12"/>
    </row>
    <row r="27" spans="1:14" ht="15.75" customHeight="1" thickBot="1" x14ac:dyDescent="0.3">
      <c r="A27" s="29">
        <v>25</v>
      </c>
      <c r="B27" s="76"/>
      <c r="C27" s="50" t="s">
        <v>104</v>
      </c>
      <c r="D27" s="51" t="s">
        <v>105</v>
      </c>
      <c r="E27" s="52" t="s">
        <v>109</v>
      </c>
      <c r="F27" s="52" t="s">
        <v>125</v>
      </c>
      <c r="G27" s="52" t="s">
        <v>131</v>
      </c>
      <c r="H27" s="13" t="s">
        <v>24</v>
      </c>
      <c r="I27" s="52" t="s">
        <v>209</v>
      </c>
      <c r="J27" s="53">
        <v>1</v>
      </c>
      <c r="K27" s="54" t="s">
        <v>214</v>
      </c>
      <c r="L27" s="17">
        <v>0.84</v>
      </c>
      <c r="M27" s="55">
        <f t="shared" si="0"/>
        <v>0.84</v>
      </c>
      <c r="N27" s="14"/>
    </row>
    <row r="28" spans="1:14" ht="26.25" thickBot="1" x14ac:dyDescent="0.3">
      <c r="A28" s="29">
        <v>26</v>
      </c>
      <c r="B28" s="18" t="s">
        <v>187</v>
      </c>
      <c r="C28" s="57" t="s">
        <v>132</v>
      </c>
      <c r="D28" s="58" t="s">
        <v>133</v>
      </c>
      <c r="E28" s="59" t="s">
        <v>27</v>
      </c>
      <c r="F28" s="59" t="s">
        <v>134</v>
      </c>
      <c r="G28" s="59" t="s">
        <v>135</v>
      </c>
      <c r="H28" s="20" t="s">
        <v>24</v>
      </c>
      <c r="I28" s="19"/>
      <c r="J28" s="21">
        <v>1</v>
      </c>
      <c r="K28" s="71" t="s">
        <v>214</v>
      </c>
      <c r="L28" s="22">
        <v>0.61</v>
      </c>
      <c r="M28" s="62">
        <f t="shared" si="0"/>
        <v>0.61</v>
      </c>
      <c r="N28" s="23"/>
    </row>
    <row r="29" spans="1:14" ht="15.75" thickBot="1" x14ac:dyDescent="0.3">
      <c r="A29" s="29">
        <v>27</v>
      </c>
      <c r="B29" s="74" t="s">
        <v>188</v>
      </c>
      <c r="C29" s="70" t="s">
        <v>219</v>
      </c>
      <c r="D29" s="56" t="s">
        <v>23</v>
      </c>
      <c r="E29" s="46" t="s">
        <v>220</v>
      </c>
      <c r="F29" s="46" t="s">
        <v>159</v>
      </c>
      <c r="G29" s="46" t="s">
        <v>172</v>
      </c>
      <c r="H29" s="1" t="s">
        <v>24</v>
      </c>
      <c r="I29" s="4"/>
      <c r="J29" s="47">
        <v>1</v>
      </c>
      <c r="K29" s="48" t="s">
        <v>214</v>
      </c>
      <c r="L29" s="15">
        <v>1.98</v>
      </c>
      <c r="M29" s="49">
        <f t="shared" si="0"/>
        <v>1.98</v>
      </c>
      <c r="N29" s="11"/>
    </row>
    <row r="30" spans="1:14" ht="15.75" thickBot="1" x14ac:dyDescent="0.3">
      <c r="A30" s="29">
        <v>28</v>
      </c>
      <c r="B30" s="75"/>
      <c r="C30" s="32" t="s">
        <v>136</v>
      </c>
      <c r="D30" s="33" t="s">
        <v>25</v>
      </c>
      <c r="E30" s="34" t="s">
        <v>221</v>
      </c>
      <c r="F30" s="34" t="s">
        <v>160</v>
      </c>
      <c r="G30" s="34" t="s">
        <v>127</v>
      </c>
      <c r="H30" s="3" t="s">
        <v>24</v>
      </c>
      <c r="I30" s="2" t="s">
        <v>216</v>
      </c>
      <c r="J30" s="35">
        <v>1</v>
      </c>
      <c r="K30" s="41" t="s">
        <v>214</v>
      </c>
      <c r="L30" s="16">
        <v>0.54</v>
      </c>
      <c r="M30" s="43">
        <f t="shared" si="0"/>
        <v>0.54</v>
      </c>
      <c r="N30" s="12"/>
    </row>
    <row r="31" spans="1:14" ht="15.75" thickBot="1" x14ac:dyDescent="0.3">
      <c r="A31" s="29">
        <v>29</v>
      </c>
      <c r="B31" s="75"/>
      <c r="C31" s="32" t="s">
        <v>137</v>
      </c>
      <c r="D31" s="33" t="s">
        <v>138</v>
      </c>
      <c r="E31" s="34" t="s">
        <v>179</v>
      </c>
      <c r="F31" s="34" t="s">
        <v>161</v>
      </c>
      <c r="G31" s="34" t="s">
        <v>172</v>
      </c>
      <c r="H31" s="3" t="s">
        <v>24</v>
      </c>
      <c r="I31" s="2" t="s">
        <v>216</v>
      </c>
      <c r="J31" s="35">
        <v>2</v>
      </c>
      <c r="K31" s="41" t="s">
        <v>214</v>
      </c>
      <c r="L31" s="16">
        <v>1.64</v>
      </c>
      <c r="M31" s="43">
        <f t="shared" si="0"/>
        <v>3.28</v>
      </c>
      <c r="N31" s="12"/>
    </row>
    <row r="32" spans="1:14" ht="15.75" thickBot="1" x14ac:dyDescent="0.3">
      <c r="A32" s="29">
        <v>30</v>
      </c>
      <c r="B32" s="75"/>
      <c r="C32" s="32" t="s">
        <v>139</v>
      </c>
      <c r="D32" s="33" t="s">
        <v>140</v>
      </c>
      <c r="E32" s="34" t="s">
        <v>179</v>
      </c>
      <c r="F32" s="34" t="s">
        <v>162</v>
      </c>
      <c r="G32" s="34" t="s">
        <v>172</v>
      </c>
      <c r="H32" s="3" t="s">
        <v>24</v>
      </c>
      <c r="I32" s="2" t="s">
        <v>216</v>
      </c>
      <c r="J32" s="35">
        <v>1</v>
      </c>
      <c r="K32" s="41" t="s">
        <v>214</v>
      </c>
      <c r="L32" s="16">
        <v>0.6</v>
      </c>
      <c r="M32" s="43">
        <f t="shared" si="0"/>
        <v>0.6</v>
      </c>
      <c r="N32" s="12"/>
    </row>
    <row r="33" spans="1:14" ht="15.75" thickBot="1" x14ac:dyDescent="0.3">
      <c r="A33" s="29">
        <v>31</v>
      </c>
      <c r="B33" s="75"/>
      <c r="C33" s="32" t="s">
        <v>141</v>
      </c>
      <c r="D33" s="33" t="s">
        <v>142</v>
      </c>
      <c r="E33" s="34" t="s">
        <v>180</v>
      </c>
      <c r="F33" s="34" t="s">
        <v>163</v>
      </c>
      <c r="G33" s="34" t="s">
        <v>173</v>
      </c>
      <c r="H33" s="3" t="s">
        <v>24</v>
      </c>
      <c r="I33" s="2" t="s">
        <v>216</v>
      </c>
      <c r="J33" s="35">
        <v>1</v>
      </c>
      <c r="K33" s="41" t="s">
        <v>214</v>
      </c>
      <c r="L33" s="16">
        <v>2.98</v>
      </c>
      <c r="M33" s="43">
        <f t="shared" si="0"/>
        <v>2.98</v>
      </c>
      <c r="N33" s="12"/>
    </row>
    <row r="34" spans="1:14" ht="15.75" customHeight="1" thickBot="1" x14ac:dyDescent="0.3">
      <c r="A34" s="29">
        <v>32</v>
      </c>
      <c r="B34" s="75"/>
      <c r="C34" s="32" t="s">
        <v>143</v>
      </c>
      <c r="D34" s="33" t="s">
        <v>144</v>
      </c>
      <c r="E34" s="34" t="s">
        <v>27</v>
      </c>
      <c r="F34" s="34" t="s">
        <v>164</v>
      </c>
      <c r="G34" s="34" t="s">
        <v>174</v>
      </c>
      <c r="H34" s="3" t="s">
        <v>24</v>
      </c>
      <c r="I34" s="2" t="s">
        <v>216</v>
      </c>
      <c r="J34" s="35">
        <v>1</v>
      </c>
      <c r="K34" s="41" t="s">
        <v>214</v>
      </c>
      <c r="L34" s="16">
        <v>0.93</v>
      </c>
      <c r="M34" s="43">
        <f t="shared" si="0"/>
        <v>0.93</v>
      </c>
      <c r="N34" s="12"/>
    </row>
    <row r="35" spans="1:14" ht="15.75" customHeight="1" thickBot="1" x14ac:dyDescent="0.3">
      <c r="A35" s="29">
        <v>33</v>
      </c>
      <c r="B35" s="75"/>
      <c r="C35" s="32" t="s">
        <v>145</v>
      </c>
      <c r="D35" s="33" t="s">
        <v>146</v>
      </c>
      <c r="E35" s="34" t="s">
        <v>183</v>
      </c>
      <c r="F35" s="34" t="s">
        <v>165</v>
      </c>
      <c r="G35" s="34" t="s">
        <v>175</v>
      </c>
      <c r="H35" s="3" t="s">
        <v>24</v>
      </c>
      <c r="I35" s="2" t="s">
        <v>216</v>
      </c>
      <c r="J35" s="35">
        <v>1</v>
      </c>
      <c r="K35" s="41" t="s">
        <v>214</v>
      </c>
      <c r="L35" s="16">
        <v>3.37</v>
      </c>
      <c r="M35" s="43">
        <f t="shared" si="0"/>
        <v>3.37</v>
      </c>
      <c r="N35" s="12"/>
    </row>
    <row r="36" spans="1:14" ht="15.75" customHeight="1" thickBot="1" x14ac:dyDescent="0.3">
      <c r="A36" s="29">
        <v>34</v>
      </c>
      <c r="B36" s="75"/>
      <c r="C36" s="32" t="s">
        <v>147</v>
      </c>
      <c r="D36" s="33" t="s">
        <v>148</v>
      </c>
      <c r="E36" s="34" t="s">
        <v>27</v>
      </c>
      <c r="F36" s="34" t="s">
        <v>166</v>
      </c>
      <c r="G36" s="34" t="s">
        <v>176</v>
      </c>
      <c r="H36" s="3" t="s">
        <v>24</v>
      </c>
      <c r="I36" s="2" t="s">
        <v>216</v>
      </c>
      <c r="J36" s="35">
        <v>1</v>
      </c>
      <c r="K36" s="41" t="s">
        <v>214</v>
      </c>
      <c r="L36" s="16">
        <v>4.5</v>
      </c>
      <c r="M36" s="43">
        <f t="shared" si="0"/>
        <v>4.5</v>
      </c>
      <c r="N36" s="12"/>
    </row>
    <row r="37" spans="1:14" ht="15.75" customHeight="1" thickBot="1" x14ac:dyDescent="0.3">
      <c r="A37" s="29">
        <v>35</v>
      </c>
      <c r="B37" s="75"/>
      <c r="C37" s="32" t="s">
        <v>149</v>
      </c>
      <c r="D37" s="33" t="s">
        <v>150</v>
      </c>
      <c r="E37" s="34" t="s">
        <v>181</v>
      </c>
      <c r="F37" s="34" t="s">
        <v>167</v>
      </c>
      <c r="G37" s="34" t="s">
        <v>172</v>
      </c>
      <c r="H37" s="3" t="s">
        <v>24</v>
      </c>
      <c r="I37" s="2" t="s">
        <v>216</v>
      </c>
      <c r="J37" s="35">
        <v>1</v>
      </c>
      <c r="K37" s="41" t="s">
        <v>214</v>
      </c>
      <c r="L37" s="16">
        <v>1.26</v>
      </c>
      <c r="M37" s="43">
        <f t="shared" si="0"/>
        <v>1.26</v>
      </c>
      <c r="N37" s="12"/>
    </row>
    <row r="38" spans="1:14" ht="15.75" customHeight="1" thickBot="1" x14ac:dyDescent="0.3">
      <c r="A38" s="29">
        <v>36</v>
      </c>
      <c r="B38" s="75"/>
      <c r="C38" s="32" t="s">
        <v>151</v>
      </c>
      <c r="D38" s="33" t="s">
        <v>152</v>
      </c>
      <c r="E38" s="34" t="s">
        <v>182</v>
      </c>
      <c r="F38" s="34" t="s">
        <v>168</v>
      </c>
      <c r="G38" s="34" t="s">
        <v>172</v>
      </c>
      <c r="H38" s="3" t="s">
        <v>24</v>
      </c>
      <c r="I38" s="2" t="s">
        <v>216</v>
      </c>
      <c r="J38" s="35">
        <v>1</v>
      </c>
      <c r="K38" s="41" t="s">
        <v>214</v>
      </c>
      <c r="L38" s="16">
        <v>2.48</v>
      </c>
      <c r="M38" s="43">
        <f t="shared" si="0"/>
        <v>2.48</v>
      </c>
      <c r="N38" s="12"/>
    </row>
    <row r="39" spans="1:14" ht="15.75" customHeight="1" thickBot="1" x14ac:dyDescent="0.3">
      <c r="A39" s="29">
        <v>37</v>
      </c>
      <c r="B39" s="75"/>
      <c r="C39" s="32" t="s">
        <v>153</v>
      </c>
      <c r="D39" s="33" t="s">
        <v>154</v>
      </c>
      <c r="E39" s="34" t="s">
        <v>181</v>
      </c>
      <c r="F39" s="34" t="s">
        <v>169</v>
      </c>
      <c r="G39" s="34" t="s">
        <v>172</v>
      </c>
      <c r="H39" s="3" t="s">
        <v>24</v>
      </c>
      <c r="I39" s="2" t="s">
        <v>216</v>
      </c>
      <c r="J39" s="35">
        <v>1</v>
      </c>
      <c r="K39" s="41" t="s">
        <v>214</v>
      </c>
      <c r="L39" s="16">
        <v>2.5</v>
      </c>
      <c r="M39" s="43">
        <f t="shared" si="0"/>
        <v>2.5</v>
      </c>
      <c r="N39" s="12"/>
    </row>
    <row r="40" spans="1:14" ht="15.75" customHeight="1" thickBot="1" x14ac:dyDescent="0.3">
      <c r="A40" s="29">
        <v>38</v>
      </c>
      <c r="B40" s="75"/>
      <c r="C40" s="32" t="s">
        <v>155</v>
      </c>
      <c r="D40" s="33" t="s">
        <v>156</v>
      </c>
      <c r="E40" s="34" t="s">
        <v>106</v>
      </c>
      <c r="F40" s="34" t="s">
        <v>170</v>
      </c>
      <c r="G40" s="34" t="s">
        <v>177</v>
      </c>
      <c r="H40" s="3" t="s">
        <v>24</v>
      </c>
      <c r="I40" s="2" t="s">
        <v>216</v>
      </c>
      <c r="J40" s="35">
        <v>1</v>
      </c>
      <c r="K40" s="41" t="s">
        <v>214</v>
      </c>
      <c r="L40" s="31">
        <v>0.51</v>
      </c>
      <c r="M40" s="43">
        <f t="shared" si="0"/>
        <v>0.51</v>
      </c>
      <c r="N40" s="42"/>
    </row>
    <row r="41" spans="1:14" ht="15.75" customHeight="1" thickBot="1" x14ac:dyDescent="0.3">
      <c r="A41" s="29">
        <v>39</v>
      </c>
      <c r="B41" s="76"/>
      <c r="C41" s="50" t="s">
        <v>157</v>
      </c>
      <c r="D41" s="51" t="s">
        <v>158</v>
      </c>
      <c r="E41" s="52" t="s">
        <v>184</v>
      </c>
      <c r="F41" s="52" t="s">
        <v>171</v>
      </c>
      <c r="G41" s="52" t="s">
        <v>178</v>
      </c>
      <c r="H41" s="13" t="s">
        <v>24</v>
      </c>
      <c r="I41" s="2" t="s">
        <v>216</v>
      </c>
      <c r="J41" s="53">
        <v>1</v>
      </c>
      <c r="K41" s="54" t="s">
        <v>214</v>
      </c>
      <c r="L41" s="24">
        <v>0.4</v>
      </c>
      <c r="M41" s="55">
        <f t="shared" si="0"/>
        <v>0.4</v>
      </c>
      <c r="N41" s="25"/>
    </row>
    <row r="42" spans="1:14" ht="15.75" customHeight="1" thickBot="1" x14ac:dyDescent="0.3">
      <c r="A42" s="29">
        <v>40</v>
      </c>
      <c r="B42" s="74" t="s">
        <v>31</v>
      </c>
      <c r="C42" s="69" t="s">
        <v>189</v>
      </c>
      <c r="D42" s="36" t="s">
        <v>29</v>
      </c>
      <c r="E42" s="37" t="s">
        <v>27</v>
      </c>
      <c r="F42" s="37" t="s">
        <v>190</v>
      </c>
      <c r="G42" s="37" t="s">
        <v>60</v>
      </c>
      <c r="H42" s="37" t="s">
        <v>24</v>
      </c>
      <c r="I42" s="38" t="s">
        <v>216</v>
      </c>
      <c r="J42" s="39">
        <v>1</v>
      </c>
      <c r="K42" s="38"/>
      <c r="L42" s="38"/>
      <c r="M42" s="81">
        <f t="shared" si="0"/>
        <v>0</v>
      </c>
      <c r="N42" s="40" t="s">
        <v>215</v>
      </c>
    </row>
    <row r="43" spans="1:14" ht="15.75" customHeight="1" thickBot="1" x14ac:dyDescent="0.3">
      <c r="A43" s="29">
        <v>41</v>
      </c>
      <c r="B43" s="75"/>
      <c r="C43" s="32" t="s">
        <v>191</v>
      </c>
      <c r="D43" s="33" t="s">
        <v>26</v>
      </c>
      <c r="E43" s="34" t="s">
        <v>27</v>
      </c>
      <c r="F43" s="34" t="s">
        <v>192</v>
      </c>
      <c r="G43" s="35"/>
      <c r="H43" s="3" t="s">
        <v>24</v>
      </c>
      <c r="I43" s="7"/>
      <c r="J43" s="35">
        <v>1</v>
      </c>
      <c r="K43" s="35"/>
      <c r="L43" s="31"/>
      <c r="M43" s="43">
        <f t="shared" si="0"/>
        <v>0</v>
      </c>
      <c r="N43" s="42"/>
    </row>
    <row r="44" spans="1:14" ht="15.75" customHeight="1" thickBot="1" x14ac:dyDescent="0.3">
      <c r="A44" s="29">
        <v>42</v>
      </c>
      <c r="B44" s="75"/>
      <c r="C44" s="32" t="s">
        <v>193</v>
      </c>
      <c r="D44" s="33" t="s">
        <v>194</v>
      </c>
      <c r="E44" s="34" t="s">
        <v>27</v>
      </c>
      <c r="F44" s="34" t="s">
        <v>195</v>
      </c>
      <c r="G44" s="34" t="s">
        <v>198</v>
      </c>
      <c r="H44" s="3" t="s">
        <v>24</v>
      </c>
      <c r="I44" s="7"/>
      <c r="J44" s="35">
        <v>1</v>
      </c>
      <c r="K44" s="41" t="s">
        <v>214</v>
      </c>
      <c r="L44" s="31">
        <v>0.14000000000000001</v>
      </c>
      <c r="M44" s="43">
        <f t="shared" si="0"/>
        <v>0.14000000000000001</v>
      </c>
      <c r="N44" s="42"/>
    </row>
    <row r="45" spans="1:14" ht="15.75" customHeight="1" thickBot="1" x14ac:dyDescent="0.3">
      <c r="A45" s="29">
        <v>43</v>
      </c>
      <c r="B45" s="75"/>
      <c r="C45" s="69" t="s">
        <v>196</v>
      </c>
      <c r="D45" s="36" t="s">
        <v>197</v>
      </c>
      <c r="E45" s="37" t="s">
        <v>27</v>
      </c>
      <c r="F45" s="37" t="s">
        <v>218</v>
      </c>
      <c r="G45" s="37" t="s">
        <v>28</v>
      </c>
      <c r="H45" s="37" t="s">
        <v>24</v>
      </c>
      <c r="I45" s="38" t="s">
        <v>223</v>
      </c>
      <c r="J45" s="39">
        <v>1</v>
      </c>
      <c r="K45" s="38" t="s">
        <v>214</v>
      </c>
      <c r="L45" s="38">
        <v>1.04</v>
      </c>
      <c r="M45" s="49">
        <f t="shared" si="0"/>
        <v>1.04</v>
      </c>
      <c r="N45" s="40" t="s">
        <v>215</v>
      </c>
    </row>
    <row r="46" spans="1:14" ht="15.75" customHeight="1" thickBot="1" x14ac:dyDescent="0.3">
      <c r="A46" s="29">
        <v>44</v>
      </c>
      <c r="B46" s="76"/>
      <c r="C46" s="63" t="s">
        <v>210</v>
      </c>
      <c r="D46" s="64" t="s">
        <v>211</v>
      </c>
      <c r="E46" s="65" t="s">
        <v>27</v>
      </c>
      <c r="F46" s="65" t="s">
        <v>210</v>
      </c>
      <c r="G46" s="65" t="s">
        <v>12</v>
      </c>
      <c r="H46" s="65" t="s">
        <v>24</v>
      </c>
      <c r="I46" s="67" t="s">
        <v>216</v>
      </c>
      <c r="J46" s="66">
        <v>9</v>
      </c>
      <c r="K46" s="67" t="s">
        <v>224</v>
      </c>
      <c r="L46" s="67" t="s">
        <v>225</v>
      </c>
      <c r="M46" s="80"/>
      <c r="N46" s="68" t="s">
        <v>215</v>
      </c>
    </row>
    <row r="47" spans="1:14" ht="19.5" thickBot="1" x14ac:dyDescent="0.35">
      <c r="A47" s="9"/>
      <c r="B47" s="9"/>
      <c r="C47" s="5"/>
      <c r="D47" s="9"/>
      <c r="E47" s="6"/>
      <c r="F47" s="6"/>
      <c r="G47" s="6"/>
      <c r="H47" s="9"/>
      <c r="I47" s="26"/>
      <c r="J47" s="73" t="s">
        <v>30</v>
      </c>
      <c r="K47" s="73"/>
      <c r="L47" s="73"/>
      <c r="M47" s="10">
        <f>SUM(M3:M46)</f>
        <v>41.951999999999991</v>
      </c>
      <c r="N47" s="9"/>
    </row>
    <row r="48" spans="1:14" ht="18.75" x14ac:dyDescent="0.3">
      <c r="A48" s="9"/>
      <c r="B48" s="9"/>
      <c r="C48" s="5"/>
      <c r="D48" s="9"/>
      <c r="E48" s="6"/>
      <c r="F48" s="6"/>
      <c r="G48" s="6"/>
      <c r="H48" s="9"/>
      <c r="I48" s="26"/>
      <c r="J48" s="72"/>
      <c r="K48" s="72"/>
      <c r="L48" s="72"/>
      <c r="N48" s="9"/>
    </row>
  </sheetData>
  <mergeCells count="9">
    <mergeCell ref="A1:N1"/>
    <mergeCell ref="B42:B46"/>
    <mergeCell ref="B16:B27"/>
    <mergeCell ref="J48:L48"/>
    <mergeCell ref="J47:L47"/>
    <mergeCell ref="B3:B8"/>
    <mergeCell ref="B9:B10"/>
    <mergeCell ref="B12:B15"/>
    <mergeCell ref="B29:B41"/>
  </mergeCells>
  <conditionalFormatting sqref="N40:N44 N46">
    <cfRule type="dataBar" priority="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{7FBBD782-A704-4BB5-90F0-E7B98C121782}</x14:id>
        </ext>
      </extLst>
    </cfRule>
  </conditionalFormatting>
  <conditionalFormatting sqref="M3:M44 M4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{FD7B7F04-635F-45FD-9B67-860583781CF2}</x14:id>
        </ext>
      </extLst>
    </cfRule>
  </conditionalFormatting>
  <conditionalFormatting sqref="N45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{4455626A-B4BE-4468-9DF8-79445C480C15}</x14:id>
        </ext>
      </extLst>
    </cfRule>
  </conditionalFormatting>
  <conditionalFormatting sqref="M4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{44FD6668-4685-47E4-87B8-C6F394E9845F}</x14:id>
        </ext>
      </extLst>
    </cfRule>
  </conditionalFormatting>
  <hyperlinks>
    <hyperlink ref="K3" r:id="rId1"/>
    <hyperlink ref="K4" r:id="rId2"/>
    <hyperlink ref="K5" r:id="rId3"/>
    <hyperlink ref="K6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3" r:id="rId21"/>
    <hyperlink ref="K24" r:id="rId22"/>
    <hyperlink ref="K25" r:id="rId23"/>
    <hyperlink ref="K26" r:id="rId24"/>
    <hyperlink ref="K27" r:id="rId25"/>
    <hyperlink ref="K28" r:id="rId26"/>
    <hyperlink ref="K29" r:id="rId27"/>
    <hyperlink ref="K30" r:id="rId28"/>
    <hyperlink ref="K31" r:id="rId29"/>
    <hyperlink ref="K32" r:id="rId30"/>
    <hyperlink ref="K33" r:id="rId31"/>
    <hyperlink ref="K34" r:id="rId32"/>
    <hyperlink ref="K35" r:id="rId33"/>
    <hyperlink ref="K36" r:id="rId34"/>
    <hyperlink ref="K37" r:id="rId35"/>
    <hyperlink ref="K38" r:id="rId36"/>
    <hyperlink ref="K39" r:id="rId37"/>
    <hyperlink ref="K40" r:id="rId38"/>
    <hyperlink ref="K41" r:id="rId39"/>
    <hyperlink ref="K44" r:id="rId40"/>
    <hyperlink ref="K45" r:id="rId41"/>
  </hyperlinks>
  <pageMargins left="0.7" right="0.7" top="0.75" bottom="0.75" header="0.3" footer="0.3"/>
  <pageSetup orientation="portrait" r:id="rId4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BBD782-A704-4BB5-90F0-E7B98C1217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N40:N44 N46</xm:sqref>
        </x14:conditionalFormatting>
        <x14:conditionalFormatting xmlns:xm="http://schemas.microsoft.com/office/excel/2006/main">
          <x14:cfRule type="dataBar" id="{FD7B7F04-635F-45FD-9B67-860583781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M3:M44 M46</xm:sqref>
        </x14:conditionalFormatting>
        <x14:conditionalFormatting xmlns:xm="http://schemas.microsoft.com/office/excel/2006/main">
          <x14:cfRule type="dataBar" id="{4455626A-B4BE-4468-9DF8-79445C480C1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N45</xm:sqref>
        </x14:conditionalFormatting>
        <x14:conditionalFormatting xmlns:xm="http://schemas.microsoft.com/office/excel/2006/main">
          <x14:cfRule type="dataBar" id="{44FD6668-4685-47E4-87B8-C6F394E984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2021-03-12T10:24:37Z</dcterms:created>
  <dcterms:modified xsi:type="dcterms:W3CDTF">2021-03-18T14:31:19Z</dcterms:modified>
</cp:coreProperties>
</file>